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y PC (DESKTOP-JQBDP5S)\Downloads\New folder (29)\"/>
    </mc:Choice>
  </mc:AlternateContent>
  <xr:revisionPtr revIDLastSave="0" documentId="13_ncr:1_{7922FC59-A6F6-454C-B8AB-19BCAAA7EB78}" xr6:coauthVersionLast="47" xr6:coauthVersionMax="47" xr10:uidLastSave="{00000000-0000-0000-0000-000000000000}"/>
  <bookViews>
    <workbookView xWindow="57480" yWindow="15915" windowWidth="27930" windowHeight="16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  <c r="C4" i="1"/>
  <c r="D4" i="1"/>
  <c r="E4" i="1"/>
  <c r="B4" i="1"/>
  <c r="H3" i="1" l="1"/>
  <c r="I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<sst xmlns="http://schemas.openxmlformats.org/spreadsheetml/2006/main" count="29" uniqueCount="23">
  <si>
    <t>Regression Model</t>
  </si>
  <si>
    <t>Model</t>
  </si>
  <si>
    <t>Vehicle Age</t>
  </si>
  <si>
    <t>Subscription Length</t>
  </si>
  <si>
    <t>Customer Age</t>
  </si>
  <si>
    <t>Region Density</t>
  </si>
  <si>
    <t>Claim Status</t>
  </si>
  <si>
    <t>M1</t>
  </si>
  <si>
    <t>M2</t>
  </si>
  <si>
    <t>M3</t>
  </si>
  <si>
    <t>M5</t>
  </si>
  <si>
    <t>M6</t>
  </si>
  <si>
    <t>M7</t>
  </si>
  <si>
    <t>M8</t>
  </si>
  <si>
    <t>M9</t>
  </si>
  <si>
    <t>M10</t>
  </si>
  <si>
    <t>M11</t>
  </si>
  <si>
    <t>Lasso</t>
  </si>
  <si>
    <t>WLS</t>
  </si>
  <si>
    <t xml:space="preserve">Ridge </t>
  </si>
  <si>
    <t>Intercept</t>
  </si>
  <si>
    <t>Raw Output</t>
  </si>
  <si>
    <t>Component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</si>
</sst>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"/>
  <sheetViews>
    <sheetView tabSelected="1" workbookViewId="0">
      <selection activeCell="E11" sqref="E11"/>
    </sheetView>
  </sheetViews>
  <sheetFormatPr defaultRowHeight="14.5" x14ac:dyDescent="0.35"/>
  <cols>
    <col min="1" max="1" width="15.81640625" customWidth="1"/>
    <col min="2" max="2" width="18.26953125" customWidth="1"/>
    <col min="3" max="3" width="27.1796875" customWidth="1"/>
    <col min="4" max="4" width="19.81640625" customWidth="1"/>
    <col min="5" max="5" width="18.54296875" customWidth="1"/>
    <col min="6" max="6" width="18.1796875" customWidth="1"/>
    <col min="7" max="7" width="16.1796875" bestFit="1" customWidth="1"/>
    <col min="8" max="8" width="18.453125" customWidth="1"/>
    <col min="9" max="9" width="16.36328125" customWidth="1"/>
  </cols>
  <sheetData>
    <row r="2" spans="1:9" x14ac:dyDescent="0.35">
      <c r="B2" t="s">
        <v>2</v>
      </c>
      <c r="C2" t="s">
        <v>3</v>
      </c>
      <c r="D2" t="s">
        <v>4</v>
      </c>
      <c r="E2" t="s">
        <v>5</v>
      </c>
      <c r="F2" t="s">
        <v>1</v>
      </c>
      <c r="G2" t="s">
        <v>0</v>
      </c>
      <c r="H2" t="s">
        <v>21</v>
      </c>
      <c r="I2" t="s">
        <v>6</v>
      </c>
    </row>
    <row r="3" spans="1:9" x14ac:dyDescent="0.35">
      <c r="B3">
        <v>1000</v>
      </c>
      <c r="C3">
        <v>2323</v>
      </c>
      <c r="D3">
        <v>100</v>
      </c>
      <c r="E3">
        <v>33345</v>
      </c>
      <c r="F3" t="s">
        <v>7</v>
      </c>
      <c r="G3" t="s">
        <v>17</v>
      </c>
      <c r="H3">
        <f>SUM(B4:F4)</f>
        <v>-80.999840715000005</v>
      </c>
      <c r="I3">
        <f>IF(COUNTBLANK(B3:F3)&gt;0, "", 1 / (1 + EXP(-H3)))</f>
        <v>6.6407348847978962E-36</v>
      </c>
    </row>
    <row r="4" spans="1:9" x14ac:dyDescent="0.35">
      <c r="A4" t="s">
        <v>22</v>
      </c>
      <c r="B4">
        <f>IF(B3="","",B3*_xlfn.XLOOKUP($G$3,Sheet2!$G$6:$I$6,Sheet2!$G$8:$I$8))</f>
        <v>-2.2029900000000002</v>
      </c>
      <c r="C4">
        <f>IF(C3="","",C3*_xlfn.XLOOKUP($G$3,Sheet2!$G$6:$I$6,Sheet2!$G$8:$I$8))</f>
        <v>-5.1175457700000004</v>
      </c>
      <c r="D4">
        <f>IF(D3="","",D3*_xlfn.XLOOKUP($G$3,Sheet2!$G$6:$I$6,Sheet2!$G$8:$I$8))</f>
        <v>-0.22029900000000002</v>
      </c>
      <c r="E4">
        <f>IF(E3="","",E3*_xlfn.XLOOKUP($G$3,Sheet2!$G$6:$I$6,Sheet2!$G$8:$I$8))</f>
        <v>-73.458701550000001</v>
      </c>
      <c r="F4" cm="1">
        <f t="array" ref="F4">_xlfn.IFS(G3=Sheet2!$G$6,_xlfn.XLOOKUP(F$3,Sheet2!F12:F21,Sheet2!G12:G21),G3 = Sheet2!H6, _xlfn.XLOOKUP(F$3, Sheet2!F12:F21,Sheet2!H12:H21), G3 = Sheet2!I6, _xlfn.XLOOKUP(F3, Sheet2!F12:F21, Sheet2!I12:I21))</f>
        <v>-3.04395E-4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E06225-A47C-449E-A089-C54307005A40}">
          <x14:formula1>
            <xm:f>Sheet2!$G$6:$I$6</xm:f>
          </x14:formula1>
          <xm:sqref>G3</xm:sqref>
        </x14:dataValidation>
        <x14:dataValidation type="list" allowBlank="1" showInputMessage="1" showErrorMessage="1" xr:uid="{9DEE19F5-34BA-4919-8771-38D51D4E3891}">
          <x14:formula1>
            <xm:f>Sheet2!$F$12:$F$21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FE59-42F2-46E4-B11E-2FD378668D9C}">
  <dimension ref="F6:I21"/>
  <sheetViews>
    <sheetView workbookViewId="0">
      <selection activeCell="F12" sqref="F12"/>
    </sheetView>
  </sheetViews>
  <sheetFormatPr defaultRowHeight="14.5" x14ac:dyDescent="0.35"/>
  <cols>
    <col min="6" max="6" width="25.54296875" customWidth="1"/>
    <col min="7" max="7" width="23.6328125" customWidth="1"/>
    <col min="8" max="8" width="20.90625" customWidth="1"/>
    <col min="9" max="9" width="22" customWidth="1"/>
  </cols>
  <sheetData>
    <row r="6" spans="6:9" x14ac:dyDescent="0.35">
      <c r="G6" t="s">
        <v>17</v>
      </c>
      <c r="H6" t="s">
        <v>19</v>
      </c>
      <c r="I6" t="s">
        <v>18</v>
      </c>
    </row>
    <row r="7" spans="6:9" x14ac:dyDescent="0.35">
      <c r="F7" t="s">
        <v>20</v>
      </c>
      <c r="G7">
        <v>-1.3029713090469601E-3</v>
      </c>
      <c r="H7">
        <v>-1.3028592742983501E-3</v>
      </c>
      <c r="I7">
        <v>-0.11493939341505301</v>
      </c>
    </row>
    <row r="8" spans="6:9" x14ac:dyDescent="0.35">
      <c r="F8" t="s">
        <v>2</v>
      </c>
      <c r="G8">
        <v>-2.2029900000000002E-3</v>
      </c>
      <c r="H8">
        <v>-2.2096400000000001E-3</v>
      </c>
      <c r="I8">
        <v>-0.20250199999999999</v>
      </c>
    </row>
    <row r="9" spans="6:9" x14ac:dyDescent="0.35">
      <c r="F9" t="s">
        <v>3</v>
      </c>
      <c r="G9">
        <v>-4.5753599999999997E-3</v>
      </c>
      <c r="H9">
        <v>-4.58129E-3</v>
      </c>
      <c r="I9">
        <v>8.4331000000000003E-2</v>
      </c>
    </row>
    <row r="10" spans="6:9" x14ac:dyDescent="0.35">
      <c r="F10" t="s">
        <v>4</v>
      </c>
      <c r="G10">
        <v>-5.14849E-2</v>
      </c>
      <c r="H10">
        <v>-5.1486499999999998E-2</v>
      </c>
      <c r="I10">
        <v>-2.3723500000000001E-3</v>
      </c>
    </row>
    <row r="11" spans="6:9" x14ac:dyDescent="0.35">
      <c r="F11" t="s">
        <v>5</v>
      </c>
      <c r="G11" s="1">
        <v>-1.43908E-5</v>
      </c>
      <c r="H11" s="1">
        <v>-1.4386899999999999E-5</v>
      </c>
      <c r="I11" s="1">
        <v>-3.6631600000000001E-6</v>
      </c>
    </row>
    <row r="12" spans="6:9" x14ac:dyDescent="0.35">
      <c r="F12" t="s">
        <v>7</v>
      </c>
      <c r="G12">
        <v>-3.04395E-4</v>
      </c>
      <c r="H12">
        <v>-3.1120799999999999E-4</v>
      </c>
      <c r="I12">
        <v>-6.7671300000000004E-2</v>
      </c>
    </row>
    <row r="13" spans="6:9" x14ac:dyDescent="0.35">
      <c r="F13" t="s">
        <v>8</v>
      </c>
      <c r="G13" s="1">
        <v>-1.00444E-5</v>
      </c>
      <c r="H13" s="1">
        <v>-1.68781E-5</v>
      </c>
      <c r="I13">
        <v>2.71629E-2</v>
      </c>
    </row>
    <row r="14" spans="6:9" x14ac:dyDescent="0.35">
      <c r="F14" t="s">
        <v>9</v>
      </c>
      <c r="G14" s="1">
        <v>-5.8783699999999998E-5</v>
      </c>
      <c r="H14" s="1">
        <v>-6.5615299999999995E-5</v>
      </c>
      <c r="I14">
        <v>-6.7961800000000003E-2</v>
      </c>
    </row>
    <row r="15" spans="6:9" x14ac:dyDescent="0.35">
      <c r="F15" t="s">
        <v>10</v>
      </c>
      <c r="G15" s="1">
        <v>-1.5345700000000001E-5</v>
      </c>
      <c r="H15" s="1">
        <v>-2.2178700000000002E-5</v>
      </c>
      <c r="I15">
        <v>3.9326199999999999E-2</v>
      </c>
    </row>
    <row r="16" spans="6:9" x14ac:dyDescent="0.35">
      <c r="F16" t="s">
        <v>11</v>
      </c>
      <c r="G16">
        <v>-2.64157E-4</v>
      </c>
      <c r="H16">
        <v>-2.7096200000000003E-4</v>
      </c>
      <c r="I16">
        <v>0.102496</v>
      </c>
    </row>
    <row r="17" spans="6:9" x14ac:dyDescent="0.35">
      <c r="F17" t="s">
        <v>12</v>
      </c>
      <c r="G17" s="1">
        <v>-5.5166700000000002E-5</v>
      </c>
      <c r="H17" s="1">
        <v>-6.1996100000000001E-5</v>
      </c>
      <c r="I17">
        <v>2.1735899999999999E-2</v>
      </c>
    </row>
    <row r="18" spans="6:9" x14ac:dyDescent="0.35">
      <c r="F18" t="s">
        <v>13</v>
      </c>
      <c r="G18">
        <v>-1.13353E-4</v>
      </c>
      <c r="H18">
        <v>-1.2018E-4</v>
      </c>
      <c r="I18">
        <v>-9.0136999999999995E-2</v>
      </c>
    </row>
    <row r="19" spans="6:9" x14ac:dyDescent="0.35">
      <c r="F19" t="s">
        <v>14</v>
      </c>
      <c r="G19" s="1">
        <v>-4.3743599999999999E-5</v>
      </c>
      <c r="H19" s="1">
        <v>-5.0575499999999997E-5</v>
      </c>
      <c r="I19">
        <v>-1.93083E-2</v>
      </c>
    </row>
    <row r="20" spans="6:9" x14ac:dyDescent="0.35">
      <c r="F20" t="s">
        <v>15</v>
      </c>
      <c r="G20" s="1">
        <v>-2.4969200000000001E-5</v>
      </c>
      <c r="H20" s="1">
        <v>-3.18029E-5</v>
      </c>
      <c r="I20" s="1">
        <v>-5.5931699999999997E-3</v>
      </c>
    </row>
    <row r="21" spans="6:9" x14ac:dyDescent="0.35">
      <c r="F21" t="s">
        <v>16</v>
      </c>
      <c r="G21" s="1">
        <v>-6.0958299999999997E-6</v>
      </c>
      <c r="H21" s="1">
        <v>-1.2931100000000001E-5</v>
      </c>
      <c r="I21">
        <v>-2.0984800000000001E-2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 Nikiforov</cp:lastModifiedBy>
  <dcterms:created xsi:type="dcterms:W3CDTF">2015-06-05T18:17:20Z</dcterms:created>
  <dcterms:modified xsi:type="dcterms:W3CDTF">2026-06-15T00:17:20Z</dcterms:modified>
</cp:coreProperties>
</file>